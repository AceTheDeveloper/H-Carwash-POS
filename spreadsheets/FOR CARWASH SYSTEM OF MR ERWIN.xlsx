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" sheetId="1" r:id="rId5"/>
    <sheet state="visible" name="30" sheetId="2" r:id="rId6"/>
  </sheets>
  <definedNames>
    <definedName name="SERVICES">#REF!</definedName>
  </definedNames>
  <calcPr/>
</workbook>
</file>

<file path=xl/sharedStrings.xml><?xml version="1.0" encoding="utf-8"?>
<sst xmlns="http://schemas.openxmlformats.org/spreadsheetml/2006/main" count="169" uniqueCount="86">
  <si>
    <t>Services</t>
  </si>
  <si>
    <t>Price</t>
  </si>
  <si>
    <t>4 WHEELS</t>
  </si>
  <si>
    <t>BASIC</t>
  </si>
  <si>
    <t>BASIC SMALL 4 WHEELS</t>
  </si>
  <si>
    <t>BASIC MEDIUM 4 WHEELS</t>
  </si>
  <si>
    <t>BASIC LARGE 4 WHEELS</t>
  </si>
  <si>
    <t>BASIC XL 4 WHEELS</t>
  </si>
  <si>
    <t>ADVANCED SMALL 4 WHEELS</t>
  </si>
  <si>
    <t>ADVANCED MEDIUM 4 WHEELS</t>
  </si>
  <si>
    <t>ADVANCE LARGE 4 WHEELS</t>
  </si>
  <si>
    <t>ADVANCE XL 4 WHEELS</t>
  </si>
  <si>
    <t>PREMIUM SMALL 4 WHEELS</t>
  </si>
  <si>
    <t>PREMIUM MEDIUM 4 WHEELS</t>
  </si>
  <si>
    <t>PREMIUM LARGE 4 WHEELS</t>
  </si>
  <si>
    <t>PREMIUM XL 4 WHEELS</t>
  </si>
  <si>
    <t>BASIC REGULAR MOTORCYCLE</t>
  </si>
  <si>
    <t>ADVANCE REGULAR MOTORCYCLE</t>
  </si>
  <si>
    <t>ADVANCE BIG BIKE MOTORCYCLE</t>
  </si>
  <si>
    <t>ARMOR ALL</t>
  </si>
  <si>
    <t>BACK TO ZERO</t>
  </si>
  <si>
    <t>ENGINE WASH</t>
  </si>
  <si>
    <t>ASPHALT REMOVAL</t>
  </si>
  <si>
    <t xml:space="preserve">QUICK WASH </t>
  </si>
  <si>
    <t>DEFAULT</t>
  </si>
  <si>
    <t>VACUUM SMALL</t>
  </si>
  <si>
    <t>WAX</t>
  </si>
  <si>
    <t>DATE:</t>
  </si>
  <si>
    <t>OPENING CASHIER</t>
  </si>
  <si>
    <t xml:space="preserve">JILL </t>
  </si>
  <si>
    <t>CLOSING CASHIER</t>
  </si>
  <si>
    <t>JILL</t>
  </si>
  <si>
    <t>HERO CARWASH</t>
  </si>
  <si>
    <t>Cash Breakdown</t>
  </si>
  <si>
    <t>QTY</t>
  </si>
  <si>
    <t>DENOMINATION</t>
  </si>
  <si>
    <t>TOTAL COLLECTION</t>
  </si>
  <si>
    <t>NO.</t>
  </si>
  <si>
    <t>PLATE NO.</t>
  </si>
  <si>
    <t>SERVICES</t>
  </si>
  <si>
    <t>STAFF</t>
  </si>
  <si>
    <t>PRICE</t>
  </si>
  <si>
    <t>DISCOUNT 10%</t>
  </si>
  <si>
    <t>COMMISION FEE
25%</t>
  </si>
  <si>
    <t>NET SALES</t>
  </si>
  <si>
    <t>MOP</t>
  </si>
  <si>
    <t>REMARKS</t>
  </si>
  <si>
    <t>NGC 1435</t>
  </si>
  <si>
    <t>SAM</t>
  </si>
  <si>
    <t>CARD</t>
  </si>
  <si>
    <t>CASH</t>
  </si>
  <si>
    <t>QR</t>
  </si>
  <si>
    <t>VOUCHER</t>
  </si>
  <si>
    <t xml:space="preserve">TOTAL COMMISSION </t>
  </si>
  <si>
    <t>TOTAL</t>
  </si>
  <si>
    <t>SUMMARY REPORT :</t>
  </si>
  <si>
    <t>GROSS SALES</t>
  </si>
  <si>
    <t>STAFF CF</t>
  </si>
  <si>
    <t>SOLD GC</t>
  </si>
  <si>
    <t>POS READING</t>
  </si>
  <si>
    <t>EXPENSES</t>
  </si>
  <si>
    <t xml:space="preserve">  </t>
  </si>
  <si>
    <t>UNPAIDS</t>
  </si>
  <si>
    <t>DISCOUNTS</t>
  </si>
  <si>
    <t>MARKETING EXPENSE</t>
  </si>
  <si>
    <t>QR/PALAWAN PAY</t>
  </si>
  <si>
    <t xml:space="preserve"> </t>
  </si>
  <si>
    <t>CARD PAYMENTS</t>
  </si>
  <si>
    <t>Net Cash</t>
  </si>
  <si>
    <t>COH (Cash on Hand)</t>
  </si>
  <si>
    <t>(Short )Over</t>
  </si>
  <si>
    <t>Remarks</t>
  </si>
  <si>
    <t>IMPORTANT NOTE:</t>
  </si>
  <si>
    <t>Only the gray cells need to be filled out</t>
  </si>
  <si>
    <t>MARKETING</t>
  </si>
  <si>
    <t>•</t>
  </si>
  <si>
    <t>Particular</t>
  </si>
  <si>
    <t>Amount</t>
  </si>
  <si>
    <t>Staff</t>
  </si>
  <si>
    <t xml:space="preserve">Commission </t>
  </si>
  <si>
    <t>UIT 165</t>
  </si>
  <si>
    <t>SAM / CHRIS</t>
  </si>
  <si>
    <t>NBZ 3738</t>
  </si>
  <si>
    <t>F420QG</t>
  </si>
  <si>
    <t>CHRIS / NICK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</si>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</sst>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d,yyyy"/>
    <numFmt numFmtId="165" formatCode="#,##0.00;(#,##0.00)"/>
  </numFmts>
  <fonts count="2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sz val="13.0"/>
      <color rgb="FFFF0000"/>
      <name val="Comic Sans MS"/>
    </font>
    <font>
      <b/>
      <color theme="1"/>
      <name val="Arial"/>
      <scheme val="minor"/>
    </font>
    <font/>
    <font>
      <b/>
      <sz val="12.0"/>
      <color theme="1"/>
      <name val="Arial"/>
    </font>
    <font>
      <b/>
      <sz val="9.0"/>
      <color theme="1"/>
      <name val="Arial"/>
    </font>
    <font>
      <b/>
      <color rgb="FFFFFFFF"/>
      <name val="Arial"/>
      <scheme val="minor"/>
    </font>
    <font>
      <sz val="10.0"/>
      <color rgb="FF000000"/>
      <name val="Arial"/>
    </font>
    <font>
      <color rgb="FF000000"/>
      <name val="Arial"/>
      <scheme val="minor"/>
    </font>
    <font>
      <b/>
      <sz val="11.0"/>
      <color theme="1"/>
      <name val="Arial"/>
    </font>
    <font>
      <b/>
      <color rgb="FFFFFFFF"/>
      <name val="Arial"/>
    </font>
    <font>
      <b/>
      <sz val="13.0"/>
      <color rgb="FF000000"/>
      <name val="Comic Sans MS"/>
    </font>
    <font>
      <b/>
      <i/>
      <color theme="1"/>
      <name val="Arial"/>
    </font>
    <font>
      <b/>
      <i/>
      <color rgb="FFFF0000"/>
      <name val="Arial"/>
      <scheme val="minor"/>
    </font>
    <font>
      <b/>
      <i/>
      <color rgb="FFFFFFFF"/>
      <name val="Arial"/>
    </font>
    <font>
      <i/>
      <color theme="1"/>
      <name val="Arial"/>
    </font>
    <font>
      <b/>
      <sz val="10.0"/>
      <color rgb="FFFFFFFF"/>
      <name val="Arial"/>
    </font>
    <font>
      <sz val="10.0"/>
      <color theme="1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b/>
      <i/>
      <sz val="10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CC0000"/>
        <bgColor rgb="FFCC000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06666"/>
        <bgColor rgb="FFE06666"/>
      </patternFill>
    </fill>
    <fill>
      <patternFill patternType="solid">
        <fgColor rgb="FFCCA677"/>
        <bgColor rgb="FFCCA677"/>
      </patternFill>
    </fill>
    <fill>
      <patternFill patternType="solid">
        <fgColor rgb="FFF3F3F3"/>
        <bgColor rgb="FFF3F3F3"/>
      </patternFill>
    </fill>
    <fill>
      <patternFill patternType="solid">
        <fgColor rgb="FFF8F2EB"/>
        <bgColor rgb="FFF8F2EB"/>
      </patternFill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990000"/>
        <bgColor rgb="FF990000"/>
      </patternFill>
    </fill>
    <fill>
      <patternFill patternType="solid">
        <fgColor rgb="FFF1C232"/>
        <bgColor rgb="FFF1C232"/>
      </patternFill>
    </fill>
  </fills>
  <borders count="19">
    <border/>
    <border>
      <bottom style="thin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top style="medium">
        <color rgb="FF000000"/>
      </top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dotted">
        <color rgb="FF000000"/>
      </left>
      <top style="dotted">
        <color rgb="FF000000"/>
      </top>
    </border>
    <border>
      <top style="dotted">
        <color rgb="FF000000"/>
      </top>
    </border>
    <border>
      <right style="dotted">
        <color rgb="FF000000"/>
      </right>
      <top style="dotted">
        <color rgb="FF000000"/>
      </top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 vertical="center"/>
    </xf>
    <xf borderId="0" fillId="0" fontId="5" numFmtId="0" xfId="0" applyAlignment="1" applyFont="1">
      <alignment readingOrder="0"/>
    </xf>
    <xf borderId="1" fillId="0" fontId="5" numFmtId="164" xfId="0" applyAlignment="1" applyBorder="1" applyFont="1" applyNumberFormat="1">
      <alignment horizontal="center" readingOrder="0"/>
    </xf>
    <xf borderId="1" fillId="0" fontId="6" numFmtId="0" xfId="0" applyBorder="1" applyFont="1"/>
    <xf borderId="1" fillId="0" fontId="5" numFmtId="0" xfId="0" applyAlignment="1" applyBorder="1" applyFont="1">
      <alignment readingOrder="0"/>
    </xf>
    <xf borderId="0" fillId="0" fontId="5" numFmtId="0" xfId="0" applyFont="1"/>
    <xf borderId="2" fillId="0" fontId="7" numFmtId="0" xfId="0" applyAlignment="1" applyBorder="1" applyFont="1">
      <alignment horizontal="center" shrinkToFit="0" vertical="bottom" wrapText="1"/>
    </xf>
    <xf borderId="3" fillId="0" fontId="6" numFmtId="0" xfId="0" applyBorder="1" applyFont="1"/>
    <xf borderId="4" fillId="0" fontId="6" numFmtId="0" xfId="0" applyBorder="1" applyFont="1"/>
    <xf borderId="5" fillId="0" fontId="1" numFmtId="0" xfId="0" applyAlignment="1" applyBorder="1" applyFont="1">
      <alignment horizontal="center" shrinkToFit="0" vertical="bottom" wrapText="1"/>
    </xf>
    <xf borderId="5" fillId="0" fontId="8" numFmtId="0" xfId="0" applyAlignment="1" applyBorder="1" applyFont="1">
      <alignment horizontal="center" shrinkToFit="0" vertical="bottom" wrapText="1"/>
    </xf>
    <xf borderId="6" fillId="2" fontId="9" numFmtId="0" xfId="0" applyAlignment="1" applyBorder="1" applyFill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5" fillId="3" fontId="2" numFmtId="0" xfId="0" applyAlignment="1" applyBorder="1" applyFill="1" applyFont="1">
      <alignment readingOrder="0" vertical="bottom"/>
    </xf>
    <xf borderId="5" fillId="0" fontId="2" numFmtId="0" xfId="0" applyAlignment="1" applyBorder="1" applyFont="1">
      <alignment horizontal="center" vertical="bottom"/>
    </xf>
    <xf borderId="5" fillId="0" fontId="2" numFmtId="4" xfId="0" applyAlignment="1" applyBorder="1" applyFont="1" applyNumberFormat="1">
      <alignment horizontal="center" vertical="bottom"/>
    </xf>
    <xf borderId="7" fillId="3" fontId="3" numFmtId="0" xfId="0" applyAlignment="1" applyBorder="1" applyFill="1" applyFont="1">
      <alignment horizontal="center" readingOrder="0"/>
    </xf>
    <xf borderId="7" fillId="3" fontId="3" numFmtId="0" xfId="0" applyAlignment="1" applyBorder="1" applyFill="1" applyFont="1">
      <alignment readingOrder="0"/>
    </xf>
    <xf borderId="7" fillId="4" fontId="10" numFmtId="4" xfId="0" applyAlignment="1" applyBorder="1" applyFill="1" applyFont="1" applyNumberFormat="1">
      <alignment horizontal="center" vertical="bottom"/>
    </xf>
    <xf borderId="7" fillId="4" fontId="3" numFmtId="0" xfId="0" applyBorder="1" applyFill="1" applyFont="1"/>
    <xf borderId="7" fillId="0" fontId="3" numFmtId="4" xfId="0" applyBorder="1" applyFont="1" applyNumberFormat="1"/>
    <xf borderId="7" fillId="3" fontId="3" numFmtId="0" xfId="0" applyBorder="1" applyFill="1" applyFont="1"/>
    <xf borderId="0" fillId="0" fontId="3" numFmtId="0" xfId="0" applyFont="1"/>
    <xf borderId="5" fillId="3" fontId="3" numFmtId="0" xfId="0" applyAlignment="1" applyBorder="1" applyFill="1" applyFont="1">
      <alignment horizontal="center" readingOrder="0"/>
    </xf>
    <xf borderId="5" fillId="3" fontId="3" numFmtId="0" xfId="0" applyAlignment="1" applyBorder="1" applyFill="1" applyFont="1">
      <alignment readingOrder="0"/>
    </xf>
    <xf borderId="5" fillId="4" fontId="10" numFmtId="4" xfId="0" applyAlignment="1" applyBorder="1" applyFill="1" applyFont="1" applyNumberFormat="1">
      <alignment horizontal="center" vertical="bottom"/>
    </xf>
    <xf borderId="5" fillId="3" fontId="2" numFmtId="0" xfId="0" applyAlignment="1" applyBorder="1" applyFill="1" applyFont="1">
      <alignment vertical="bottom"/>
    </xf>
    <xf borderId="5" fillId="3" fontId="11" numFmtId="0" xfId="0" applyAlignment="1" applyBorder="1" applyFill="1" applyFont="1">
      <alignment readingOrder="0"/>
    </xf>
    <xf borderId="5" fillId="3" fontId="3" numFmtId="0" xfId="0" applyBorder="1" applyFill="1" applyFont="1"/>
    <xf borderId="5" fillId="4" fontId="2" numFmtId="0" xfId="0" applyAlignment="1" applyBorder="1" applyFill="1" applyFont="1">
      <alignment horizontal="center" vertical="bottom"/>
    </xf>
    <xf borderId="7" fillId="4" fontId="10" numFmtId="4" xfId="0" applyAlignment="1" applyBorder="1" applyFill="1" applyFont="1" applyNumberFormat="1">
      <alignment horizontal="center" readingOrder="0" vertical="bottom"/>
    </xf>
    <xf borderId="0" fillId="5" fontId="3" numFmtId="0" xfId="0" applyAlignment="1" applyFill="1" applyFont="1">
      <alignment readingOrder="0"/>
    </xf>
    <xf borderId="0" fillId="0" fontId="3" numFmtId="4" xfId="0" applyFont="1" applyNumberFormat="1"/>
    <xf borderId="5" fillId="4" fontId="2" numFmtId="0" xfId="0" applyAlignment="1" applyBorder="1" applyFill="1" applyFont="1">
      <alignment vertical="bottom"/>
    </xf>
    <xf borderId="2" fillId="6" fontId="1" numFmtId="4" xfId="0" applyAlignment="1" applyBorder="1" applyFill="1" applyFont="1" applyNumberFormat="1">
      <alignment vertical="bottom"/>
    </xf>
    <xf borderId="5" fillId="6" fontId="1" numFmtId="4" xfId="0" applyAlignment="1" applyBorder="1" applyFill="1" applyFont="1" applyNumberFormat="1">
      <alignment horizontal="center" vertical="bottom"/>
    </xf>
    <xf borderId="0" fillId="0" fontId="12" numFmtId="4" xfId="0" applyAlignment="1" applyFont="1" applyNumberFormat="1">
      <alignment vertical="bottom"/>
    </xf>
    <xf borderId="0" fillId="7" fontId="13" numFmtId="4" xfId="0" applyAlignment="1" applyFill="1" applyFont="1" applyNumberFormat="1">
      <alignment shrinkToFit="0" vertical="bottom" wrapText="1"/>
    </xf>
    <xf borderId="0" fillId="0" fontId="14" numFmtId="4" xfId="0" applyAlignment="1" applyFont="1" applyNumberFormat="1">
      <alignment horizontal="center" readingOrder="0" vertical="center"/>
    </xf>
    <xf borderId="0" fillId="7" fontId="13" numFmtId="4" xfId="0" applyAlignment="1" applyFill="1" applyFont="1" applyNumberFormat="1">
      <alignment vertical="bottom"/>
    </xf>
    <xf borderId="8" fillId="8" fontId="7" numFmtId="4" xfId="0" applyAlignment="1" applyBorder="1" applyFill="1" applyFont="1" applyNumberFormat="1">
      <alignment horizontal="center" vertical="bottom"/>
    </xf>
    <xf borderId="0" fillId="7" fontId="13" numFmtId="0" xfId="0" applyAlignment="1" applyFill="1" applyFont="1">
      <alignment readingOrder="0" vertical="bottom"/>
    </xf>
    <xf borderId="8" fillId="9" fontId="1" numFmtId="4" xfId="0" applyAlignment="1" applyBorder="1" applyFill="1" applyFont="1" applyNumberFormat="1">
      <alignment horizontal="center" vertical="bottom"/>
    </xf>
    <xf borderId="0" fillId="7" fontId="13" numFmtId="4" xfId="0" applyAlignment="1" applyFill="1" applyFont="1" applyNumberFormat="1">
      <alignment readingOrder="0" vertical="bottom"/>
    </xf>
    <xf borderId="9" fillId="9" fontId="7" numFmtId="4" xfId="0" applyAlignment="1" applyBorder="1" applyFill="1" applyFont="1" applyNumberFormat="1">
      <alignment horizontal="center" vertical="bottom"/>
    </xf>
    <xf borderId="9" fillId="9" fontId="7" numFmtId="4" xfId="0" applyAlignment="1" applyBorder="1" applyFill="1" applyFont="1" applyNumberFormat="1">
      <alignment horizontal="center" readingOrder="0" vertical="bottom"/>
    </xf>
    <xf borderId="9" fillId="10" fontId="7" numFmtId="4" xfId="0" applyAlignment="1" applyBorder="1" applyFill="1" applyFont="1" applyNumberFormat="1">
      <alignment horizontal="center" readingOrder="0" vertical="bottom"/>
    </xf>
    <xf borderId="0" fillId="11" fontId="1" numFmtId="4" xfId="0" applyAlignment="1" applyFill="1" applyFont="1" applyNumberFormat="1">
      <alignment vertical="bottom"/>
    </xf>
    <xf borderId="0" fillId="12" fontId="15" numFmtId="4" xfId="0" applyAlignment="1" applyFill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4" xfId="0" applyAlignment="1" applyFont="1" applyNumberFormat="1">
      <alignment readingOrder="0" vertical="bottom"/>
    </xf>
    <xf borderId="0" fillId="0" fontId="16" numFmtId="0" xfId="0" applyAlignment="1" applyFont="1">
      <alignment readingOrder="0"/>
    </xf>
    <xf borderId="0" fillId="0" fontId="2" numFmtId="4" xfId="0" applyAlignment="1" applyFont="1" applyNumberFormat="1">
      <alignment vertical="bottom"/>
    </xf>
    <xf borderId="0" fillId="13" fontId="17" numFmtId="4" xfId="0" applyAlignment="1" applyFill="1" applyFont="1" applyNumberFormat="1">
      <alignment vertical="bottom"/>
    </xf>
    <xf borderId="0" fillId="9" fontId="7" numFmtId="165" xfId="0" applyAlignment="1" applyFill="1" applyFont="1" applyNumberFormat="1">
      <alignment horizontal="center" vertical="bottom"/>
    </xf>
    <xf borderId="0" fillId="0" fontId="18" numFmtId="0" xfId="0" applyAlignment="1" applyFont="1">
      <alignment shrinkToFit="0" vertical="bottom" wrapText="1"/>
    </xf>
    <xf borderId="10" fillId="0" fontId="2" numFmtId="0" xfId="0" applyAlignment="1" applyBorder="1" applyFont="1">
      <alignment horizontal="center" readingOrder="0" vertical="center"/>
    </xf>
    <xf borderId="11" fillId="0" fontId="6" numFmtId="0" xfId="0" applyBorder="1" applyFont="1"/>
    <xf borderId="12" fillId="0" fontId="6" numFmtId="0" xfId="0" applyBorder="1" applyFont="1"/>
    <xf borderId="13" fillId="0" fontId="6" numFmtId="0" xfId="0" applyBorder="1" applyFont="1"/>
    <xf borderId="14" fillId="0" fontId="6" numFmtId="0" xfId="0" applyBorder="1" applyFont="1"/>
    <xf borderId="15" fillId="0" fontId="6" numFmtId="0" xfId="0" applyBorder="1" applyFont="1"/>
    <xf borderId="0" fillId="5" fontId="5" numFmtId="0" xfId="0" applyAlignment="1" applyFill="1" applyFont="1">
      <alignment readingOrder="0"/>
    </xf>
    <xf borderId="0" fillId="5" fontId="5" numFmtId="4" xfId="0" applyAlignment="1" applyFill="1" applyFont="1" applyNumberFormat="1">
      <alignment horizontal="center"/>
    </xf>
    <xf borderId="0" fillId="5" fontId="5" numFmtId="0" xfId="0" applyAlignment="1" applyFill="1" applyFont="1">
      <alignment horizontal="center"/>
    </xf>
    <xf borderId="16" fillId="14" fontId="19" numFmtId="4" xfId="0" applyAlignment="1" applyBorder="1" applyFill="1" applyFont="1" applyNumberFormat="1">
      <alignment horizontal="center" vertical="bottom"/>
    </xf>
    <xf borderId="17" fillId="0" fontId="6" numFmtId="0" xfId="0" applyBorder="1" applyFont="1"/>
    <xf borderId="18" fillId="0" fontId="6" numFmtId="0" xfId="0" applyBorder="1" applyFont="1"/>
    <xf borderId="0" fillId="0" fontId="20" numFmtId="0" xfId="0" applyFont="1"/>
    <xf borderId="16" fillId="14" fontId="19" numFmtId="4" xfId="0" applyAlignment="1" applyBorder="1" applyFill="1" applyFont="1" applyNumberFormat="1">
      <alignment horizontal="center" readingOrder="0" vertical="bottom"/>
    </xf>
    <xf borderId="0" fillId="14" fontId="3" numFmtId="0" xfId="0" applyFill="1" applyFont="1"/>
    <xf borderId="4" fillId="0" fontId="21" numFmtId="4" xfId="0" applyAlignment="1" applyBorder="1" applyFont="1" applyNumberFormat="1">
      <alignment horizontal="center" vertical="bottom"/>
    </xf>
    <xf borderId="5" fillId="0" fontId="22" numFmtId="4" xfId="0" applyAlignment="1" applyBorder="1" applyFont="1" applyNumberFormat="1">
      <alignment horizontal="center" vertical="bottom"/>
    </xf>
    <xf borderId="2" fillId="0" fontId="22" numFmtId="4" xfId="0" applyAlignment="1" applyBorder="1" applyFont="1" applyNumberFormat="1">
      <alignment horizontal="center" vertical="bottom"/>
    </xf>
    <xf borderId="5" fillId="0" fontId="22" numFmtId="0" xfId="0" applyAlignment="1" applyBorder="1" applyFont="1">
      <alignment horizontal="center" readingOrder="0" vertical="bottom"/>
    </xf>
    <xf borderId="5" fillId="0" fontId="22" numFmtId="4" xfId="0" applyAlignment="1" applyBorder="1" applyFont="1" applyNumberFormat="1">
      <alignment horizontal="center" readingOrder="0" vertical="bottom"/>
    </xf>
    <xf borderId="5" fillId="0" fontId="22" numFmtId="0" xfId="0" applyAlignment="1" applyBorder="1" applyFont="1">
      <alignment horizontal="center" vertical="bottom"/>
    </xf>
    <xf borderId="5" fillId="0" fontId="21" numFmtId="4" xfId="0" applyAlignment="1" applyBorder="1" applyFont="1" applyNumberFormat="1">
      <alignment vertical="bottom"/>
    </xf>
    <xf borderId="5" fillId="0" fontId="21" numFmtId="0" xfId="0" applyAlignment="1" applyBorder="1" applyFont="1">
      <alignment vertical="bottom"/>
    </xf>
    <xf borderId="5" fillId="0" fontId="21" numFmtId="3" xfId="0" applyAlignment="1" applyBorder="1" applyFont="1" applyNumberFormat="1">
      <alignment vertical="bottom"/>
    </xf>
    <xf borderId="4" fillId="0" fontId="21" numFmtId="4" xfId="0" applyAlignment="1" applyBorder="1" applyFont="1" applyNumberFormat="1">
      <alignment vertical="bottom"/>
    </xf>
    <xf borderId="0" fillId="15" fontId="23" numFmtId="4" xfId="0" applyAlignment="1" applyFill="1" applyFont="1" applyNumberFormat="1">
      <alignment horizontal="center" vertical="bottom"/>
    </xf>
    <xf borderId="0" fillId="15" fontId="22" numFmtId="4" xfId="0" applyAlignment="1" applyFill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609600</xdr:colOff>
      <xdr:row>0</xdr:row>
      <xdr:rowOff>0</xdr:rowOff>
    </xdr:from>
    <xdr:ext cx="828675" cy="8858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</cols>
  <sheetData>
    <row r="3">
      <c r="A3" s="1" t="s">
        <v>0</v>
      </c>
      <c r="B3" s="1" t="s">
        <v>1</v>
      </c>
    </row>
    <row r="4">
      <c r="A4" s="2" t="s">
        <v>2</v>
      </c>
      <c r="B4" s="3"/>
    </row>
    <row r="5">
      <c r="A5" s="4" t="s">
        <v>3</v>
      </c>
      <c r="B5" s="5"/>
    </row>
    <row r="6">
      <c r="A6" s="5" t="s">
        <v>4</v>
      </c>
      <c r="B6" s="5">
        <v>350.0</v>
      </c>
    </row>
    <row r="7">
      <c r="A7" s="5" t="s">
        <v>5</v>
      </c>
      <c r="B7" s="5">
        <v>400.0</v>
      </c>
    </row>
    <row r="8">
      <c r="A8" s="5" t="s">
        <v>6</v>
      </c>
      <c r="B8" s="5">
        <v>450.0</v>
      </c>
    </row>
    <row r="9">
      <c r="A9" s="5" t="s">
        <v>7</v>
      </c>
      <c r="B9" s="5">
        <v>500.0</v>
      </c>
    </row>
    <row r="10">
      <c r="A10" s="5" t="s">
        <v>8</v>
      </c>
      <c r="B10" s="5">
        <v>400.0</v>
      </c>
    </row>
    <row r="11">
      <c r="A11" s="5" t="s">
        <v>9</v>
      </c>
      <c r="B11" s="5">
        <v>450.0</v>
      </c>
    </row>
    <row r="12">
      <c r="A12" s="5" t="s">
        <v>10</v>
      </c>
      <c r="B12" s="5">
        <v>500.0</v>
      </c>
    </row>
    <row r="13">
      <c r="A13" s="5" t="s">
        <v>11</v>
      </c>
      <c r="B13" s="5">
        <v>550.0</v>
      </c>
    </row>
    <row r="14">
      <c r="A14" s="5" t="s">
        <v>12</v>
      </c>
      <c r="B14" s="5">
        <v>500.0</v>
      </c>
    </row>
    <row r="15">
      <c r="A15" s="5" t="s">
        <v>13</v>
      </c>
      <c r="B15" s="5">
        <v>550.0</v>
      </c>
    </row>
    <row r="16">
      <c r="A16" s="5" t="s">
        <v>14</v>
      </c>
      <c r="B16" s="5">
        <v>600.0</v>
      </c>
    </row>
    <row r="17">
      <c r="A17" s="5" t="s">
        <v>15</v>
      </c>
      <c r="B17" s="5">
        <v>700.0</v>
      </c>
    </row>
    <row r="18">
      <c r="A18" s="5" t="s">
        <v>16</v>
      </c>
      <c r="B18" s="5">
        <v>150.0</v>
      </c>
    </row>
    <row r="19">
      <c r="A19" s="5" t="s">
        <v>17</v>
      </c>
      <c r="B19" s="5">
        <v>250.0</v>
      </c>
    </row>
    <row r="20">
      <c r="A20" s="5" t="s">
        <v>18</v>
      </c>
      <c r="B20" s="5">
        <v>380.0</v>
      </c>
    </row>
    <row r="21">
      <c r="A21" s="5" t="s">
        <v>19</v>
      </c>
      <c r="B21" s="5">
        <v>200.0</v>
      </c>
    </row>
    <row r="22">
      <c r="A22" s="5" t="s">
        <v>20</v>
      </c>
      <c r="B22" s="5">
        <v>500.0</v>
      </c>
    </row>
    <row r="23">
      <c r="A23" s="5" t="s">
        <v>21</v>
      </c>
      <c r="B23" s="5">
        <v>400.0</v>
      </c>
    </row>
    <row r="24">
      <c r="A24" s="5" t="s">
        <v>22</v>
      </c>
      <c r="B24" s="5">
        <v>400.0</v>
      </c>
    </row>
    <row r="25">
      <c r="A25" s="5" t="s">
        <v>23</v>
      </c>
      <c r="B25" s="5">
        <v>250.0</v>
      </c>
    </row>
    <row r="26">
      <c r="A26" s="5" t="s">
        <v>24</v>
      </c>
      <c r="B26" s="5">
        <v>0.0</v>
      </c>
    </row>
    <row r="27">
      <c r="A27" s="5" t="s">
        <v>25</v>
      </c>
      <c r="B27" s="5">
        <v>100.0</v>
      </c>
    </row>
    <row r="28">
      <c r="A28" s="5" t="s">
        <v>26</v>
      </c>
      <c r="B28" s="5">
        <v>100.0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15.0"/>
    <col customWidth="1" min="3" max="3" width="17.5"/>
    <col customWidth="1" min="4" max="5" width="7.0"/>
    <col customWidth="1" min="6" max="6" width="21.0"/>
    <col customWidth="1" min="7" max="7" width="22.25"/>
    <col customWidth="1" min="8" max="8" width="16.25"/>
    <col customWidth="1" min="9" max="10" width="13.13"/>
    <col customWidth="1" min="11" max="11" width="21.13"/>
    <col customWidth="1" min="12" max="12" width="16.75"/>
    <col customWidth="1" min="13" max="13" width="12.5"/>
    <col customWidth="1" min="14" max="14" width="33.38"/>
    <col customWidth="1" min="15" max="15" width="19.88"/>
    <col customWidth="1" min="19" max="19" width="18.13"/>
  </cols>
  <sheetData>
    <row r="2">
      <c r="A2" s="6"/>
      <c r="B2" s="6"/>
      <c r="C2" s="6"/>
      <c r="D2" s="6"/>
      <c r="E2" s="6"/>
      <c r="F2" s="6"/>
      <c r="G2" s="6"/>
      <c r="H2" s="5"/>
    </row>
    <row r="3">
      <c r="A3" s="6"/>
      <c r="B3" s="6"/>
      <c r="C3" s="7" t="s">
        <v>27</v>
      </c>
      <c r="D3" s="8">
        <v>46291.0</v>
      </c>
      <c r="E3" s="9"/>
      <c r="F3" s="9"/>
      <c r="G3" s="9"/>
      <c r="H3" s="5"/>
    </row>
    <row r="4">
      <c r="A4" s="6"/>
      <c r="B4" s="6"/>
      <c r="C4" s="7" t="s">
        <v>28</v>
      </c>
      <c r="D4" s="10" t="s">
        <v>29</v>
      </c>
      <c r="E4" s="9"/>
      <c r="F4" s="9"/>
      <c r="G4" s="7" t="s">
        <v>30</v>
      </c>
      <c r="H4" s="10" t="s">
        <v>31</v>
      </c>
    </row>
    <row r="5">
      <c r="A5" s="6" t="s">
        <v>32</v>
      </c>
      <c r="B5" s="6"/>
      <c r="C5" s="6"/>
      <c r="D5" s="6"/>
      <c r="E5" s="6"/>
      <c r="F5" s="6"/>
      <c r="G5" s="6"/>
      <c r="H5" s="7"/>
      <c r="I5" s="11"/>
      <c r="J5" s="11"/>
      <c r="K5" s="11"/>
      <c r="L5" s="11"/>
      <c r="M5" s="11"/>
    </row>
    <row r="6">
      <c r="B6" s="6"/>
      <c r="C6" s="6"/>
      <c r="D6" s="6"/>
      <c r="E6" s="6"/>
      <c r="F6" s="6"/>
      <c r="G6" s="6"/>
    </row>
    <row r="7">
      <c r="A7" s="6"/>
      <c r="B7" s="6"/>
      <c r="C7" s="6"/>
      <c r="D7" s="6"/>
      <c r="E7" s="6"/>
      <c r="F7" s="6"/>
      <c r="G7" s="6"/>
    </row>
    <row r="8">
      <c r="A8" s="12" t="s">
        <v>33</v>
      </c>
      <c r="B8" s="13"/>
      <c r="C8" s="14"/>
      <c r="D8" s="6"/>
    </row>
    <row r="9">
      <c r="A9" s="15" t="s">
        <v>34</v>
      </c>
      <c r="B9" s="15" t="s">
        <v>35</v>
      </c>
      <c r="C9" s="16" t="s">
        <v>36</v>
      </c>
      <c r="D9" s="6"/>
      <c r="E9" s="17" t="s">
        <v>37</v>
      </c>
      <c r="F9" s="17" t="s">
        <v>38</v>
      </c>
      <c r="G9" s="17" t="s">
        <v>39</v>
      </c>
      <c r="H9" s="17" t="s">
        <v>40</v>
      </c>
      <c r="I9" s="17" t="s">
        <v>41</v>
      </c>
      <c r="J9" s="17" t="s">
        <v>42</v>
      </c>
      <c r="K9" s="17" t="s">
        <v>43</v>
      </c>
      <c r="L9" s="17" t="s">
        <v>44</v>
      </c>
      <c r="M9" s="17" t="s">
        <v>45</v>
      </c>
      <c r="N9" s="17" t="s">
        <v>46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>
      <c r="A10" s="19">
        <v>4.0</v>
      </c>
      <c r="B10" s="20">
        <v>1000.0</v>
      </c>
      <c r="C10" s="21">
        <f t="shared" ref="C10:C20" si="1">A10*B10</f>
        <v>4000</v>
      </c>
      <c r="D10" s="6"/>
      <c r="E10" s="22">
        <v>1.0</v>
      </c>
      <c r="F10" s="23" t="s">
        <v>47</v>
      </c>
      <c r="G10" s="23" t="s">
        <v>9</v>
      </c>
      <c r="H10" s="23" t="s">
        <v>48</v>
      </c>
      <c r="I10" s="24">
        <f>ifna(VLOOKUP(G10,SERVICES,2,false),"")</f>
        <v>450</v>
      </c>
      <c r="J10" s="24"/>
      <c r="K10" s="25">
        <f t="shared" ref="K10:K23" si="2">(I10-J10)*25%</f>
        <v>112.5</v>
      </c>
      <c r="L10" s="26">
        <f t="shared" ref="L10:L54" si="3">I10-K10</f>
        <v>337.5</v>
      </c>
      <c r="M10" s="23" t="s">
        <v>49</v>
      </c>
      <c r="N10" s="27"/>
      <c r="P10" s="28">
        <f t="shared" ref="P10:P16" si="4">I10/2</f>
        <v>225</v>
      </c>
    </row>
    <row r="11">
      <c r="A11" s="19">
        <v>3.0</v>
      </c>
      <c r="B11" s="20">
        <v>500.0</v>
      </c>
      <c r="C11" s="21">
        <f t="shared" si="1"/>
        <v>1500</v>
      </c>
      <c r="D11" s="6"/>
      <c r="E11" s="29">
        <v>2.0</v>
      </c>
      <c r="F11" s="30"/>
      <c r="G11" s="23"/>
      <c r="H11" s="30"/>
      <c r="I11" s="31" t="str">
        <f>ifna(VLOOKUP(G11,SERVICES,2,false),"")</f>
        <v/>
      </c>
      <c r="J11" s="24"/>
      <c r="K11" s="25">
        <f t="shared" si="2"/>
        <v>0</v>
      </c>
      <c r="L11" s="26">
        <f t="shared" si="3"/>
        <v>0</v>
      </c>
      <c r="M11" s="30" t="s">
        <v>50</v>
      </c>
      <c r="N11" s="30"/>
      <c r="P11" s="28">
        <f t="shared" si="4"/>
        <v>0</v>
      </c>
    </row>
    <row r="12">
      <c r="A12" s="32"/>
      <c r="B12" s="20">
        <v>200.0</v>
      </c>
      <c r="C12" s="21">
        <f t="shared" si="1"/>
        <v>0</v>
      </c>
      <c r="D12" s="6"/>
      <c r="E12" s="29">
        <v>3.0</v>
      </c>
      <c r="F12" s="30"/>
      <c r="G12" s="23"/>
      <c r="H12" s="30"/>
      <c r="I12" s="31" t="str">
        <f>ifna(VLOOKUP(G12,SERVICES,2,false),"")</f>
        <v/>
      </c>
      <c r="J12" s="24"/>
      <c r="K12" s="25">
        <f t="shared" si="2"/>
        <v>0</v>
      </c>
      <c r="L12" s="26">
        <f t="shared" si="3"/>
        <v>0</v>
      </c>
      <c r="M12" s="33" t="s">
        <v>50</v>
      </c>
      <c r="N12" s="34"/>
      <c r="P12" s="28">
        <f t="shared" si="4"/>
        <v>0</v>
      </c>
    </row>
    <row r="13">
      <c r="A13" s="19">
        <v>2.0</v>
      </c>
      <c r="B13" s="20">
        <v>100.0</v>
      </c>
      <c r="C13" s="21">
        <f t="shared" si="1"/>
        <v>200</v>
      </c>
      <c r="D13" s="6"/>
      <c r="E13" s="29">
        <v>4.0</v>
      </c>
      <c r="F13" s="30"/>
      <c r="G13" s="23"/>
      <c r="H13" s="30"/>
      <c r="I13" s="31" t="str">
        <f>ifna(VLOOKUP(G13,SERVICES,2,false),"")</f>
        <v/>
      </c>
      <c r="J13" s="24"/>
      <c r="K13" s="25">
        <f t="shared" si="2"/>
        <v>0</v>
      </c>
      <c r="L13" s="26">
        <f t="shared" si="3"/>
        <v>0</v>
      </c>
      <c r="M13" s="33" t="s">
        <v>50</v>
      </c>
      <c r="N13" s="34"/>
      <c r="P13" s="28">
        <f t="shared" si="4"/>
        <v>0</v>
      </c>
    </row>
    <row r="14">
      <c r="A14" s="19"/>
      <c r="B14" s="20">
        <v>50.0</v>
      </c>
      <c r="C14" s="21">
        <f t="shared" si="1"/>
        <v>0</v>
      </c>
      <c r="D14" s="6"/>
      <c r="E14" s="29">
        <v>5.0</v>
      </c>
      <c r="F14" s="30"/>
      <c r="G14" s="23"/>
      <c r="H14" s="30"/>
      <c r="I14" s="31" t="str">
        <f>ifna(VLOOKUP(G14,SERVICES,2,false),"")</f>
        <v/>
      </c>
      <c r="J14" s="24"/>
      <c r="K14" s="25">
        <f t="shared" si="2"/>
        <v>0</v>
      </c>
      <c r="L14" s="26">
        <f t="shared" si="3"/>
        <v>0</v>
      </c>
      <c r="M14" s="33" t="s">
        <v>50</v>
      </c>
      <c r="N14" s="34"/>
      <c r="P14" s="28">
        <f t="shared" si="4"/>
        <v>0</v>
      </c>
    </row>
    <row r="15">
      <c r="A15" s="19"/>
      <c r="B15" s="20">
        <v>20.0</v>
      </c>
      <c r="C15" s="21">
        <f t="shared" si="1"/>
        <v>0</v>
      </c>
      <c r="D15" s="6"/>
      <c r="E15" s="29">
        <v>6.0</v>
      </c>
      <c r="F15" s="30"/>
      <c r="G15" s="23"/>
      <c r="H15" s="30"/>
      <c r="I15" s="31" t="str">
        <f>ifna(VLOOKUP(G15,SERVICES,2,false),"")</f>
        <v/>
      </c>
      <c r="J15" s="24"/>
      <c r="K15" s="25">
        <f t="shared" si="2"/>
        <v>0</v>
      </c>
      <c r="L15" s="26">
        <f t="shared" si="3"/>
        <v>0</v>
      </c>
      <c r="M15" s="33" t="s">
        <v>51</v>
      </c>
      <c r="N15" s="34"/>
      <c r="P15" s="28">
        <f t="shared" si="4"/>
        <v>0</v>
      </c>
    </row>
    <row r="16">
      <c r="A16" s="19"/>
      <c r="B16" s="20">
        <v>10.0</v>
      </c>
      <c r="C16" s="21">
        <f t="shared" si="1"/>
        <v>0</v>
      </c>
      <c r="D16" s="6"/>
      <c r="E16" s="29">
        <v>7.0</v>
      </c>
      <c r="F16" s="30"/>
      <c r="G16" s="23"/>
      <c r="H16" s="30"/>
      <c r="I16" s="31" t="str">
        <f>ifna(VLOOKUP(G16,SERVICES,2,false),"")</f>
        <v/>
      </c>
      <c r="J16" s="24"/>
      <c r="K16" s="25">
        <f t="shared" si="2"/>
        <v>0</v>
      </c>
      <c r="L16" s="26">
        <f t="shared" si="3"/>
        <v>0</v>
      </c>
      <c r="M16" s="33" t="s">
        <v>49</v>
      </c>
      <c r="N16" s="30"/>
      <c r="P16" s="28">
        <f t="shared" si="4"/>
        <v>0</v>
      </c>
    </row>
    <row r="17">
      <c r="A17" s="19"/>
      <c r="B17" s="20">
        <v>5.0</v>
      </c>
      <c r="C17" s="21">
        <f t="shared" si="1"/>
        <v>0</v>
      </c>
      <c r="D17" s="6"/>
      <c r="E17" s="29">
        <v>8.0</v>
      </c>
      <c r="F17" s="30"/>
      <c r="G17" s="23"/>
      <c r="H17" s="30"/>
      <c r="I17" s="31" t="str">
        <f>ifna(VLOOKUP(G17,SERVICES,2,false),"")</f>
        <v/>
      </c>
      <c r="J17" s="24"/>
      <c r="K17" s="25">
        <f t="shared" si="2"/>
        <v>0</v>
      </c>
      <c r="L17" s="26">
        <f t="shared" si="3"/>
        <v>0</v>
      </c>
      <c r="M17" s="30" t="s">
        <v>50</v>
      </c>
      <c r="N17" s="30"/>
      <c r="P17" s="28">
        <f t="shared" ref="P17:P18" si="5">I17/3</f>
        <v>0</v>
      </c>
    </row>
    <row r="18">
      <c r="A18" s="19"/>
      <c r="B18" s="20">
        <v>0.5</v>
      </c>
      <c r="C18" s="21">
        <f t="shared" si="1"/>
        <v>0</v>
      </c>
      <c r="D18" s="6"/>
      <c r="E18" s="29">
        <v>9.0</v>
      </c>
      <c r="F18" s="30"/>
      <c r="G18" s="23"/>
      <c r="H18" s="30"/>
      <c r="I18" s="31" t="str">
        <f>ifna(VLOOKUP(G18,SERVICES,2,false),"")</f>
        <v/>
      </c>
      <c r="J18" s="24"/>
      <c r="K18" s="25">
        <f t="shared" si="2"/>
        <v>0</v>
      </c>
      <c r="L18" s="26">
        <f t="shared" si="3"/>
        <v>0</v>
      </c>
      <c r="M18" s="30" t="s">
        <v>50</v>
      </c>
      <c r="N18" s="30"/>
      <c r="P18" s="28">
        <f t="shared" si="5"/>
        <v>0</v>
      </c>
    </row>
    <row r="19">
      <c r="A19" s="32"/>
      <c r="B19" s="35">
        <v>0.1</v>
      </c>
      <c r="C19" s="21">
        <f t="shared" si="1"/>
        <v>0</v>
      </c>
      <c r="D19" s="6"/>
      <c r="E19" s="29">
        <v>10.0</v>
      </c>
      <c r="F19" s="30"/>
      <c r="G19" s="23"/>
      <c r="H19" s="30"/>
      <c r="I19" s="31" t="str">
        <f>ifna(VLOOKUP(G19,SERVICES,2,false),"")</f>
        <v/>
      </c>
      <c r="J19" s="36">
        <v>250.0</v>
      </c>
      <c r="K19" s="25">
        <f t="shared" si="2"/>
        <v>-62.5</v>
      </c>
      <c r="L19" s="26">
        <f t="shared" si="3"/>
        <v>62.5</v>
      </c>
      <c r="M19" s="30" t="s">
        <v>50</v>
      </c>
      <c r="N19" s="30" t="s">
        <v>52</v>
      </c>
      <c r="P19" s="28">
        <f t="shared" ref="P19:P55" si="6">I19/2</f>
        <v>0</v>
      </c>
    </row>
    <row r="20">
      <c r="A20" s="32"/>
      <c r="B20" s="35">
        <v>0.05</v>
      </c>
      <c r="C20" s="21">
        <f t="shared" si="1"/>
        <v>0</v>
      </c>
      <c r="D20" s="6"/>
      <c r="E20" s="29">
        <v>11.0</v>
      </c>
      <c r="F20" s="30"/>
      <c r="G20" s="23"/>
      <c r="H20" s="30"/>
      <c r="I20" s="31" t="str">
        <f>ifna(VLOOKUP(G20,SERVICES,2,false),"")</f>
        <v/>
      </c>
      <c r="J20" s="36"/>
      <c r="K20" s="25">
        <f t="shared" si="2"/>
        <v>0</v>
      </c>
      <c r="L20" s="26">
        <f t="shared" si="3"/>
        <v>0</v>
      </c>
      <c r="M20" s="30" t="s">
        <v>49</v>
      </c>
      <c r="N20" s="30"/>
      <c r="P20" s="28">
        <f t="shared" si="6"/>
        <v>0</v>
      </c>
      <c r="S20" s="37" t="s">
        <v>53</v>
      </c>
      <c r="T20" s="38">
        <f>K55+R61</f>
        <v>-12.5</v>
      </c>
    </row>
    <row r="21">
      <c r="A21" s="32"/>
      <c r="B21" s="39"/>
      <c r="C21" s="21">
        <f t="shared" ref="C21:C22" si="7">A21*B19</f>
        <v>0</v>
      </c>
      <c r="D21" s="6"/>
      <c r="E21" s="29">
        <v>12.0</v>
      </c>
      <c r="F21" s="30"/>
      <c r="G21" s="23"/>
      <c r="H21" s="30"/>
      <c r="I21" s="31" t="str">
        <f>ifna(VLOOKUP(G21,SERVICES,2,false),"")</f>
        <v/>
      </c>
      <c r="J21" s="24"/>
      <c r="K21" s="25">
        <f t="shared" si="2"/>
        <v>0</v>
      </c>
      <c r="L21" s="26">
        <f t="shared" si="3"/>
        <v>0</v>
      </c>
      <c r="M21" s="30" t="s">
        <v>50</v>
      </c>
      <c r="N21" s="34"/>
      <c r="P21" s="28">
        <f t="shared" si="6"/>
        <v>0</v>
      </c>
    </row>
    <row r="22">
      <c r="A22" s="32"/>
      <c r="B22" s="39"/>
      <c r="C22" s="21">
        <f t="shared" si="7"/>
        <v>0</v>
      </c>
      <c r="D22" s="6"/>
      <c r="E22" s="29">
        <v>13.0</v>
      </c>
      <c r="F22" s="30"/>
      <c r="G22" s="23"/>
      <c r="H22" s="30"/>
      <c r="I22" s="31" t="str">
        <f>ifna(VLOOKUP(G22,SERVICES,2,false),"")</f>
        <v/>
      </c>
      <c r="J22" s="24"/>
      <c r="K22" s="25">
        <f t="shared" si="2"/>
        <v>0</v>
      </c>
      <c r="L22" s="26">
        <f t="shared" si="3"/>
        <v>0</v>
      </c>
      <c r="M22" s="30" t="s">
        <v>51</v>
      </c>
      <c r="N22" s="34"/>
      <c r="P22" s="28">
        <f t="shared" si="6"/>
        <v>0</v>
      </c>
    </row>
    <row r="23">
      <c r="A23" s="32"/>
      <c r="B23" s="39"/>
      <c r="C23" s="21">
        <f t="shared" ref="C23:C24" si="8">A23*B23</f>
        <v>0</v>
      </c>
      <c r="D23" s="6"/>
      <c r="E23" s="29">
        <v>14.0</v>
      </c>
      <c r="F23" s="30"/>
      <c r="G23" s="23"/>
      <c r="H23" s="30"/>
      <c r="I23" s="31" t="str">
        <f>ifna(VLOOKUP(G23,SERVICES,2,false),"")</f>
        <v/>
      </c>
      <c r="J23" s="36">
        <v>250.0</v>
      </c>
      <c r="K23" s="25">
        <f t="shared" si="2"/>
        <v>-62.5</v>
      </c>
      <c r="L23" s="26">
        <f t="shared" si="3"/>
        <v>62.5</v>
      </c>
      <c r="M23" s="30" t="s">
        <v>50</v>
      </c>
      <c r="N23" s="30" t="s">
        <v>52</v>
      </c>
      <c r="P23" s="28">
        <f t="shared" si="6"/>
        <v>0</v>
      </c>
    </row>
    <row r="24">
      <c r="A24" s="32"/>
      <c r="B24" s="39"/>
      <c r="C24" s="21">
        <f t="shared" si="8"/>
        <v>0</v>
      </c>
      <c r="D24" s="6"/>
      <c r="E24" s="29">
        <v>15.0</v>
      </c>
      <c r="F24" s="30"/>
      <c r="G24" s="23"/>
      <c r="H24" s="30"/>
      <c r="I24" s="31" t="str">
        <f>ifna(VLOOKUP(G24,SERVICES,2,false),"")</f>
        <v/>
      </c>
      <c r="J24" s="36"/>
      <c r="K24" s="25"/>
      <c r="L24" s="26">
        <f t="shared" si="3"/>
        <v>0</v>
      </c>
      <c r="M24" s="30" t="s">
        <v>51</v>
      </c>
      <c r="N24" s="30"/>
      <c r="P24" s="28">
        <f t="shared" si="6"/>
        <v>0</v>
      </c>
    </row>
    <row r="25">
      <c r="A25" s="40" t="s">
        <v>54</v>
      </c>
      <c r="B25" s="14"/>
      <c r="C25" s="41">
        <f>SUM(C10:C24)</f>
        <v>5700</v>
      </c>
      <c r="D25" s="6"/>
      <c r="E25" s="29">
        <v>16.0</v>
      </c>
      <c r="F25" s="30"/>
      <c r="G25" s="23"/>
      <c r="H25" s="30"/>
      <c r="I25" s="31" t="str">
        <f>ifna(VLOOKUP(G25,SERVICES,2,false),"")</f>
        <v/>
      </c>
      <c r="J25" s="24"/>
      <c r="K25" s="25">
        <f t="shared" ref="K25:K54" si="9">(I25-J25)*25%</f>
        <v>0</v>
      </c>
      <c r="L25" s="26">
        <f t="shared" si="3"/>
        <v>0</v>
      </c>
      <c r="M25" s="30" t="s">
        <v>50</v>
      </c>
      <c r="N25" s="34"/>
      <c r="P25" s="28">
        <f t="shared" si="6"/>
        <v>0</v>
      </c>
    </row>
    <row r="26">
      <c r="D26" s="6"/>
      <c r="E26" s="29">
        <v>17.0</v>
      </c>
      <c r="F26" s="30"/>
      <c r="G26" s="23"/>
      <c r="H26" s="30"/>
      <c r="I26" s="31" t="str">
        <f>ifna(VLOOKUP(G26,SERVICES,2,false),"")</f>
        <v/>
      </c>
      <c r="J26" s="24"/>
      <c r="K26" s="25">
        <f t="shared" si="9"/>
        <v>0</v>
      </c>
      <c r="L26" s="26">
        <f t="shared" si="3"/>
        <v>0</v>
      </c>
      <c r="M26" s="30" t="s">
        <v>50</v>
      </c>
      <c r="N26" s="34"/>
      <c r="P26" s="28">
        <f t="shared" si="6"/>
        <v>0</v>
      </c>
    </row>
    <row r="27">
      <c r="D27" s="6"/>
      <c r="E27" s="29">
        <v>18.0</v>
      </c>
      <c r="F27" s="30"/>
      <c r="G27" s="23"/>
      <c r="H27" s="30"/>
      <c r="I27" s="31" t="str">
        <f>ifna(VLOOKUP(G27,SERVICES,2,false),"")</f>
        <v/>
      </c>
      <c r="J27" s="24"/>
      <c r="K27" s="25">
        <f t="shared" si="9"/>
        <v>0</v>
      </c>
      <c r="L27" s="26">
        <f t="shared" si="3"/>
        <v>0</v>
      </c>
      <c r="M27" s="30" t="s">
        <v>51</v>
      </c>
      <c r="N27" s="34"/>
      <c r="P27" s="28">
        <f t="shared" si="6"/>
        <v>0</v>
      </c>
    </row>
    <row r="28">
      <c r="D28" s="6"/>
      <c r="E28" s="29">
        <v>19.0</v>
      </c>
      <c r="F28" s="30"/>
      <c r="G28" s="23"/>
      <c r="H28" s="30"/>
      <c r="I28" s="31" t="str">
        <f>ifna(VLOOKUP(G28,SERVICES,2,false),"")</f>
        <v/>
      </c>
      <c r="J28" s="24"/>
      <c r="K28" s="25">
        <f t="shared" si="9"/>
        <v>0</v>
      </c>
      <c r="L28" s="26">
        <f t="shared" si="3"/>
        <v>0</v>
      </c>
      <c r="M28" s="30" t="s">
        <v>50</v>
      </c>
      <c r="N28" s="34"/>
      <c r="P28" s="28">
        <f t="shared" si="6"/>
        <v>0</v>
      </c>
    </row>
    <row r="29">
      <c r="A29" s="42" t="s">
        <v>55</v>
      </c>
      <c r="B29" s="6"/>
      <c r="C29" s="6"/>
      <c r="D29" s="6"/>
      <c r="E29" s="29">
        <v>20.0</v>
      </c>
      <c r="F29" s="30"/>
      <c r="G29" s="23"/>
      <c r="H29" s="30"/>
      <c r="I29" s="31" t="str">
        <f>ifna(VLOOKUP(G29,SERVICES,2,false),"")</f>
        <v/>
      </c>
      <c r="J29" s="24"/>
      <c r="K29" s="25">
        <f t="shared" si="9"/>
        <v>0</v>
      </c>
      <c r="L29" s="26">
        <f t="shared" si="3"/>
        <v>0</v>
      </c>
      <c r="M29" s="30" t="s">
        <v>51</v>
      </c>
      <c r="N29" s="34"/>
      <c r="P29" s="28">
        <f t="shared" si="6"/>
        <v>0</v>
      </c>
    </row>
    <row r="30">
      <c r="A30" s="43" t="s">
        <v>56</v>
      </c>
      <c r="B30" s="44">
        <f>B33-B31</f>
        <v>1212.5</v>
      </c>
      <c r="C30" s="6"/>
      <c r="D30" s="6"/>
      <c r="E30" s="29">
        <v>21.0</v>
      </c>
      <c r="F30" s="30"/>
      <c r="G30" s="23"/>
      <c r="H30" s="30"/>
      <c r="I30" s="31" t="str">
        <f>ifna(VLOOKUP(G30,SERVICES,2,false),"")</f>
        <v/>
      </c>
      <c r="J30" s="24"/>
      <c r="K30" s="25">
        <f t="shared" si="9"/>
        <v>0</v>
      </c>
      <c r="L30" s="26">
        <f t="shared" si="3"/>
        <v>0</v>
      </c>
      <c r="M30" s="30" t="s">
        <v>51</v>
      </c>
      <c r="N30" s="34"/>
      <c r="P30" s="28">
        <f t="shared" si="6"/>
        <v>0</v>
      </c>
    </row>
    <row r="31">
      <c r="A31" s="45" t="s">
        <v>57</v>
      </c>
      <c r="B31" s="46">
        <f>K55</f>
        <v>-12.5</v>
      </c>
      <c r="C31" s="6"/>
      <c r="D31" s="6"/>
      <c r="E31" s="29">
        <v>22.0</v>
      </c>
      <c r="F31" s="30"/>
      <c r="G31" s="23"/>
      <c r="H31" s="30"/>
      <c r="I31" s="31" t="str">
        <f>ifna(VLOOKUP(G31,SERVICES,2,false),"")</f>
        <v/>
      </c>
      <c r="J31" s="24"/>
      <c r="K31" s="25">
        <f t="shared" si="9"/>
        <v>0</v>
      </c>
      <c r="L31" s="26">
        <f t="shared" si="3"/>
        <v>0</v>
      </c>
      <c r="M31" s="30" t="s">
        <v>50</v>
      </c>
      <c r="N31" s="34"/>
      <c r="P31" s="28">
        <f t="shared" si="6"/>
        <v>0</v>
      </c>
    </row>
    <row r="32">
      <c r="A32" s="45" t="s">
        <v>58</v>
      </c>
      <c r="B32" s="46" t="str">
        <f>U51</f>
        <v/>
      </c>
      <c r="C32" s="6"/>
      <c r="D32" s="6"/>
      <c r="E32" s="29">
        <v>23.0</v>
      </c>
      <c r="F32" s="30"/>
      <c r="G32" s="23"/>
      <c r="H32" s="30"/>
      <c r="I32" s="24" t="str">
        <f>ifna(VLOOKUP(G32,SERVICES,2,false),"")</f>
        <v/>
      </c>
      <c r="J32" s="24"/>
      <c r="K32" s="25">
        <f t="shared" si="9"/>
        <v>0</v>
      </c>
      <c r="L32" s="26">
        <f t="shared" si="3"/>
        <v>0</v>
      </c>
      <c r="M32" s="30" t="s">
        <v>50</v>
      </c>
      <c r="N32" s="34"/>
      <c r="P32" s="28">
        <f t="shared" si="6"/>
        <v>0</v>
      </c>
    </row>
    <row r="33">
      <c r="A33" s="45" t="s">
        <v>59</v>
      </c>
      <c r="B33" s="46">
        <f>I55+P77</f>
        <v>1200</v>
      </c>
      <c r="C33" s="6"/>
      <c r="D33" s="6"/>
      <c r="E33" s="29">
        <v>24.0</v>
      </c>
      <c r="F33" s="30"/>
      <c r="G33" s="23"/>
      <c r="H33" s="30"/>
      <c r="I33" s="31" t="str">
        <f>ifna(VLOOKUP(G33,SERVICES,2,false),"")</f>
        <v/>
      </c>
      <c r="J33" s="36"/>
      <c r="K33" s="25">
        <f t="shared" si="9"/>
        <v>0</v>
      </c>
      <c r="L33" s="26">
        <f t="shared" si="3"/>
        <v>0</v>
      </c>
      <c r="M33" s="30"/>
      <c r="N33" s="34"/>
      <c r="P33" s="28">
        <f t="shared" si="6"/>
        <v>0</v>
      </c>
    </row>
    <row r="34">
      <c r="A34" s="47" t="s">
        <v>60</v>
      </c>
      <c r="B34" s="48">
        <f>G77</f>
        <v>0</v>
      </c>
      <c r="C34" s="6" t="s">
        <v>61</v>
      </c>
      <c r="D34" s="6"/>
      <c r="E34" s="29">
        <v>25.0</v>
      </c>
      <c r="F34" s="23"/>
      <c r="G34" s="23"/>
      <c r="H34" s="23"/>
      <c r="I34" s="31" t="str">
        <f>ifna(VLOOKUP(G34,SERVICES,2,false),"")</f>
        <v/>
      </c>
      <c r="J34" s="24"/>
      <c r="K34" s="25">
        <f t="shared" si="9"/>
        <v>0</v>
      </c>
      <c r="L34" s="26">
        <f t="shared" si="3"/>
        <v>0</v>
      </c>
      <c r="M34" s="30"/>
      <c r="N34" s="34"/>
      <c r="P34" s="28">
        <f t="shared" si="6"/>
        <v>0</v>
      </c>
    </row>
    <row r="35">
      <c r="A35" s="49" t="s">
        <v>62</v>
      </c>
      <c r="B35" s="50">
        <f>L77</f>
        <v>0</v>
      </c>
      <c r="C35" s="6"/>
      <c r="D35" s="6"/>
      <c r="E35" s="29">
        <v>26.0</v>
      </c>
      <c r="F35" s="30"/>
      <c r="G35" s="23"/>
      <c r="H35" s="30"/>
      <c r="I35" s="31" t="str">
        <f>ifna(VLOOKUP(G35,SERVICES,2,false),"")</f>
        <v/>
      </c>
      <c r="J35" s="24"/>
      <c r="K35" s="25">
        <f t="shared" si="9"/>
        <v>0</v>
      </c>
      <c r="L35" s="26">
        <f t="shared" si="3"/>
        <v>0</v>
      </c>
      <c r="M35" s="30"/>
      <c r="N35" s="34"/>
      <c r="P35" s="28">
        <f t="shared" si="6"/>
        <v>0</v>
      </c>
    </row>
    <row r="36">
      <c r="A36" s="49" t="s">
        <v>63</v>
      </c>
      <c r="B36" s="51">
        <f>J55</f>
        <v>500</v>
      </c>
      <c r="C36" s="6"/>
      <c r="D36" s="6"/>
      <c r="E36" s="29">
        <v>27.0</v>
      </c>
      <c r="F36" s="30"/>
      <c r="G36" s="23"/>
      <c r="H36" s="30"/>
      <c r="I36" s="31" t="str">
        <f>ifna(VLOOKUP(G36,SERVICES,2,false),"")</f>
        <v/>
      </c>
      <c r="J36" s="24"/>
      <c r="K36" s="25">
        <f t="shared" si="9"/>
        <v>0</v>
      </c>
      <c r="L36" s="26">
        <f t="shared" si="3"/>
        <v>0</v>
      </c>
      <c r="M36" s="30"/>
      <c r="N36" s="34"/>
      <c r="P36" s="28">
        <f t="shared" si="6"/>
        <v>0</v>
      </c>
    </row>
    <row r="37">
      <c r="A37" s="49" t="s">
        <v>64</v>
      </c>
      <c r="B37" s="50">
        <f>P77</f>
        <v>750</v>
      </c>
      <c r="C37" s="6"/>
      <c r="D37" s="6"/>
      <c r="E37" s="29">
        <v>28.0</v>
      </c>
      <c r="F37" s="30"/>
      <c r="G37" s="23"/>
      <c r="H37" s="30"/>
      <c r="I37" s="31" t="str">
        <f>ifna(VLOOKUP(G37,SERVICES,2,false),"")</f>
        <v/>
      </c>
      <c r="J37" s="24"/>
      <c r="K37" s="25">
        <f t="shared" si="9"/>
        <v>0</v>
      </c>
      <c r="L37" s="26">
        <f t="shared" si="3"/>
        <v>0</v>
      </c>
      <c r="M37" s="30"/>
      <c r="N37" s="34"/>
      <c r="P37" s="28">
        <f t="shared" si="6"/>
        <v>0</v>
      </c>
    </row>
    <row r="38">
      <c r="A38" s="49" t="s">
        <v>65</v>
      </c>
      <c r="B38" s="52">
        <v>2750.0</v>
      </c>
      <c r="C38" s="6" t="s">
        <v>66</v>
      </c>
      <c r="D38" s="6"/>
      <c r="E38" s="29">
        <v>29.0</v>
      </c>
      <c r="F38" s="30"/>
      <c r="G38" s="23"/>
      <c r="H38" s="30"/>
      <c r="I38" s="31" t="str">
        <f>ifna(VLOOKUP(G38,SERVICES,2,false),"")</f>
        <v/>
      </c>
      <c r="J38" s="24"/>
      <c r="K38" s="25">
        <f t="shared" si="9"/>
        <v>0</v>
      </c>
      <c r="L38" s="26">
        <f t="shared" si="3"/>
        <v>0</v>
      </c>
      <c r="M38" s="30"/>
      <c r="N38" s="34"/>
      <c r="P38" s="28">
        <f t="shared" si="6"/>
        <v>0</v>
      </c>
    </row>
    <row r="39">
      <c r="A39" s="49" t="s">
        <v>67</v>
      </c>
      <c r="B39" s="52">
        <v>1200.0</v>
      </c>
      <c r="C39" s="6"/>
      <c r="D39" s="6"/>
      <c r="E39" s="29">
        <v>30.0</v>
      </c>
      <c r="F39" s="30"/>
      <c r="G39" s="23"/>
      <c r="H39" s="30"/>
      <c r="I39" s="31" t="str">
        <f>ifna(VLOOKUP(G39,SERVICES,2,false),"")</f>
        <v/>
      </c>
      <c r="J39" s="24"/>
      <c r="K39" s="25">
        <f t="shared" si="9"/>
        <v>0</v>
      </c>
      <c r="L39" s="26">
        <f t="shared" si="3"/>
        <v>0</v>
      </c>
      <c r="M39" s="30"/>
      <c r="N39" s="34"/>
      <c r="P39" s="28">
        <f t="shared" si="6"/>
        <v>0</v>
      </c>
    </row>
    <row r="40">
      <c r="A40" s="53" t="s">
        <v>68</v>
      </c>
      <c r="B40" s="50">
        <f>B33-B34-B35-B36-B37-B38-B39</f>
        <v>-4000</v>
      </c>
      <c r="C40" s="6"/>
      <c r="D40" s="6"/>
      <c r="E40" s="29">
        <v>31.0</v>
      </c>
      <c r="F40" s="30"/>
      <c r="G40" s="23"/>
      <c r="H40" s="30"/>
      <c r="I40" s="31" t="str">
        <f>ifna(VLOOKUP(G40,SERVICES,2,false),"")</f>
        <v/>
      </c>
      <c r="J40" s="24"/>
      <c r="K40" s="25">
        <f t="shared" si="9"/>
        <v>0</v>
      </c>
      <c r="L40" s="26">
        <f t="shared" si="3"/>
        <v>0</v>
      </c>
      <c r="M40" s="30"/>
      <c r="N40" s="34"/>
      <c r="P40" s="28">
        <f t="shared" si="6"/>
        <v>0</v>
      </c>
    </row>
    <row r="41">
      <c r="A41" s="54" t="s">
        <v>69</v>
      </c>
      <c r="B41" s="51">
        <f>C25</f>
        <v>5700</v>
      </c>
      <c r="C41" s="6"/>
      <c r="E41" s="29">
        <v>32.0</v>
      </c>
      <c r="F41" s="30"/>
      <c r="G41" s="23"/>
      <c r="H41" s="30"/>
      <c r="I41" s="31" t="str">
        <f>ifna(VLOOKUP(G41,SERVICES,2,false),"")</f>
        <v/>
      </c>
      <c r="J41" s="24"/>
      <c r="K41" s="25">
        <f t="shared" si="9"/>
        <v>0</v>
      </c>
      <c r="L41" s="26">
        <f t="shared" si="3"/>
        <v>0</v>
      </c>
      <c r="M41" s="30"/>
      <c r="N41" s="34"/>
      <c r="P41" s="28">
        <f t="shared" si="6"/>
        <v>0</v>
      </c>
    </row>
    <row r="42">
      <c r="A42" s="55"/>
      <c r="B42" s="56"/>
      <c r="C42" s="6"/>
      <c r="D42" s="57"/>
      <c r="E42" s="29">
        <v>33.0</v>
      </c>
      <c r="F42" s="30"/>
      <c r="G42" s="23"/>
      <c r="H42" s="30"/>
      <c r="I42" s="31" t="str">
        <f>ifna(VLOOKUP(G42,SERVICES,2,false),"")</f>
        <v/>
      </c>
      <c r="J42" s="24"/>
      <c r="K42" s="25">
        <f t="shared" si="9"/>
        <v>0</v>
      </c>
      <c r="L42" s="26">
        <f t="shared" si="3"/>
        <v>0</v>
      </c>
      <c r="M42" s="30"/>
      <c r="N42" s="34"/>
      <c r="P42" s="28">
        <f t="shared" si="6"/>
        <v>0</v>
      </c>
    </row>
    <row r="43">
      <c r="A43" s="55"/>
      <c r="B43" s="58"/>
      <c r="C43" s="6"/>
      <c r="D43" s="57"/>
      <c r="E43" s="29">
        <v>34.0</v>
      </c>
      <c r="F43" s="30"/>
      <c r="G43" s="23"/>
      <c r="H43" s="30"/>
      <c r="I43" s="31" t="str">
        <f>ifna(VLOOKUP(G43,SERVICES,2,false),"")</f>
        <v/>
      </c>
      <c r="J43" s="24"/>
      <c r="K43" s="25">
        <f t="shared" si="9"/>
        <v>0</v>
      </c>
      <c r="L43" s="26">
        <f t="shared" si="3"/>
        <v>0</v>
      </c>
      <c r="M43" s="30"/>
      <c r="N43" s="34"/>
      <c r="P43" s="28">
        <f t="shared" si="6"/>
        <v>0</v>
      </c>
    </row>
    <row r="44">
      <c r="A44" s="59" t="s">
        <v>70</v>
      </c>
      <c r="B44" s="60">
        <f>B41-B40</f>
        <v>9700</v>
      </c>
      <c r="C44" s="6"/>
      <c r="E44" s="29">
        <v>35.0</v>
      </c>
      <c r="F44" s="30"/>
      <c r="G44" s="23"/>
      <c r="H44" s="30"/>
      <c r="I44" s="31" t="str">
        <f>ifna(VLOOKUP(G44,SERVICES,2,false),"")</f>
        <v/>
      </c>
      <c r="J44" s="24"/>
      <c r="K44" s="25">
        <f t="shared" si="9"/>
        <v>0</v>
      </c>
      <c r="L44" s="26">
        <f t="shared" si="3"/>
        <v>0</v>
      </c>
      <c r="M44" s="30"/>
      <c r="N44" s="34"/>
      <c r="P44" s="28">
        <f t="shared" si="6"/>
        <v>0</v>
      </c>
    </row>
    <row r="45">
      <c r="A45" s="61" t="s">
        <v>71</v>
      </c>
      <c r="B45" s="55"/>
      <c r="C45" s="6"/>
      <c r="E45" s="29">
        <v>36.0</v>
      </c>
      <c r="F45" s="30"/>
      <c r="G45" s="23"/>
      <c r="H45" s="30"/>
      <c r="I45" s="31" t="str">
        <f>ifna(VLOOKUP(G45,SERVICES,2,false),"")</f>
        <v/>
      </c>
      <c r="J45" s="24"/>
      <c r="K45" s="25">
        <f t="shared" si="9"/>
        <v>0</v>
      </c>
      <c r="L45" s="26">
        <f t="shared" si="3"/>
        <v>0</v>
      </c>
      <c r="M45" s="30"/>
      <c r="N45" s="34"/>
      <c r="P45" s="28">
        <f t="shared" si="6"/>
        <v>0</v>
      </c>
    </row>
    <row r="46">
      <c r="A46" s="62"/>
      <c r="B46" s="63"/>
      <c r="E46" s="29">
        <v>37.0</v>
      </c>
      <c r="F46" s="30"/>
      <c r="G46" s="23"/>
      <c r="H46" s="30"/>
      <c r="I46" s="31" t="str">
        <f>ifna(VLOOKUP(G46,SERVICES,2,false),"")</f>
        <v/>
      </c>
      <c r="J46" s="24"/>
      <c r="K46" s="25">
        <f t="shared" si="9"/>
        <v>0</v>
      </c>
      <c r="L46" s="26">
        <f t="shared" si="3"/>
        <v>0</v>
      </c>
      <c r="M46" s="30"/>
      <c r="N46" s="34"/>
      <c r="P46" s="28">
        <f t="shared" si="6"/>
        <v>0</v>
      </c>
    </row>
    <row r="47">
      <c r="A47" s="64"/>
      <c r="B47" s="65"/>
      <c r="E47" s="29">
        <v>38.0</v>
      </c>
      <c r="F47" s="30"/>
      <c r="G47" s="23"/>
      <c r="H47" s="30"/>
      <c r="I47" s="31" t="str">
        <f>ifna(VLOOKUP(G47,SERVICES,2,false),"")</f>
        <v/>
      </c>
      <c r="J47" s="24"/>
      <c r="K47" s="25">
        <f t="shared" si="9"/>
        <v>0</v>
      </c>
      <c r="L47" s="26">
        <f t="shared" si="3"/>
        <v>0</v>
      </c>
      <c r="M47" s="30"/>
      <c r="N47" s="34"/>
      <c r="P47" s="28">
        <f t="shared" si="6"/>
        <v>0</v>
      </c>
    </row>
    <row r="48">
      <c r="A48" s="66"/>
      <c r="B48" s="67"/>
      <c r="E48" s="29">
        <v>39.0</v>
      </c>
      <c r="F48" s="30"/>
      <c r="G48" s="23"/>
      <c r="H48" s="30"/>
      <c r="I48" s="31" t="str">
        <f>ifna(VLOOKUP(G48,SERVICES,2,false),"")</f>
        <v/>
      </c>
      <c r="J48" s="24"/>
      <c r="K48" s="25">
        <f t="shared" si="9"/>
        <v>0</v>
      </c>
      <c r="L48" s="26">
        <f t="shared" si="3"/>
        <v>0</v>
      </c>
      <c r="M48" s="30"/>
      <c r="N48" s="34"/>
      <c r="P48" s="28">
        <f t="shared" si="6"/>
        <v>0</v>
      </c>
    </row>
    <row r="49">
      <c r="E49" s="29">
        <v>40.0</v>
      </c>
      <c r="F49" s="30"/>
      <c r="G49" s="23"/>
      <c r="H49" s="30"/>
      <c r="I49" s="31" t="str">
        <f>ifna(VLOOKUP(G49,SERVICES,2,false),"")</f>
        <v/>
      </c>
      <c r="J49" s="24"/>
      <c r="K49" s="25">
        <f t="shared" si="9"/>
        <v>0</v>
      </c>
      <c r="L49" s="26">
        <f t="shared" si="3"/>
        <v>0</v>
      </c>
      <c r="M49" s="30"/>
      <c r="N49" s="34"/>
      <c r="P49" s="28">
        <f t="shared" si="6"/>
        <v>0</v>
      </c>
    </row>
    <row r="50">
      <c r="A50" s="57" t="s">
        <v>72</v>
      </c>
      <c r="E50" s="29">
        <v>41.0</v>
      </c>
      <c r="F50" s="30"/>
      <c r="G50" s="23"/>
      <c r="H50" s="30"/>
      <c r="I50" s="31" t="str">
        <f>ifna(VLOOKUP(G50,SERVICES,2,false),"")</f>
        <v/>
      </c>
      <c r="J50" s="24"/>
      <c r="K50" s="25">
        <f t="shared" si="9"/>
        <v>0</v>
      </c>
      <c r="L50" s="26">
        <f t="shared" si="3"/>
        <v>0</v>
      </c>
      <c r="M50" s="30"/>
      <c r="N50" s="34"/>
      <c r="P50" s="28">
        <f t="shared" si="6"/>
        <v>0</v>
      </c>
    </row>
    <row r="51">
      <c r="A51" s="57" t="s">
        <v>73</v>
      </c>
      <c r="E51" s="29">
        <v>42.0</v>
      </c>
      <c r="F51" s="30"/>
      <c r="G51" s="23"/>
      <c r="H51" s="30"/>
      <c r="I51" s="31" t="str">
        <f>ifna(VLOOKUP(G51,SERVICES,2,false),"")</f>
        <v/>
      </c>
      <c r="J51" s="24"/>
      <c r="K51" s="25">
        <f t="shared" si="9"/>
        <v>0</v>
      </c>
      <c r="L51" s="26">
        <f t="shared" si="3"/>
        <v>0</v>
      </c>
      <c r="M51" s="30"/>
      <c r="N51" s="34"/>
      <c r="P51" s="28">
        <f t="shared" si="6"/>
        <v>0</v>
      </c>
    </row>
    <row r="52">
      <c r="E52" s="29">
        <v>43.0</v>
      </c>
      <c r="F52" s="30"/>
      <c r="G52" s="23"/>
      <c r="H52" s="30"/>
      <c r="I52" s="31" t="str">
        <f>ifna(VLOOKUP(G52,SERVICES,2,false),"")</f>
        <v/>
      </c>
      <c r="J52" s="24"/>
      <c r="K52" s="25">
        <f t="shared" si="9"/>
        <v>0</v>
      </c>
      <c r="L52" s="26">
        <f t="shared" si="3"/>
        <v>0</v>
      </c>
      <c r="M52" s="30"/>
      <c r="N52" s="34"/>
      <c r="P52" s="28">
        <f t="shared" si="6"/>
        <v>0</v>
      </c>
    </row>
    <row r="53">
      <c r="E53" s="29">
        <v>44.0</v>
      </c>
      <c r="F53" s="30"/>
      <c r="G53" s="23"/>
      <c r="H53" s="30"/>
      <c r="I53" s="31" t="str">
        <f>ifna(VLOOKUP(G53,SERVICES,2,false),"")</f>
        <v/>
      </c>
      <c r="J53" s="24"/>
      <c r="K53" s="25">
        <f t="shared" si="9"/>
        <v>0</v>
      </c>
      <c r="L53" s="26">
        <f t="shared" si="3"/>
        <v>0</v>
      </c>
      <c r="M53" s="30"/>
      <c r="N53" s="34"/>
      <c r="P53" s="28">
        <f t="shared" si="6"/>
        <v>0</v>
      </c>
    </row>
    <row r="54">
      <c r="E54" s="29">
        <v>45.0</v>
      </c>
      <c r="F54" s="30"/>
      <c r="G54" s="23"/>
      <c r="H54" s="30"/>
      <c r="I54" s="31" t="str">
        <f>ifna(VLOOKUP(G54,SERVICES,2,false),"")</f>
        <v/>
      </c>
      <c r="J54" s="24"/>
      <c r="K54" s="25">
        <f t="shared" si="9"/>
        <v>0</v>
      </c>
      <c r="L54" s="26">
        <f t="shared" si="3"/>
        <v>0</v>
      </c>
      <c r="M54" s="30"/>
      <c r="N54" s="34"/>
      <c r="P54" s="28">
        <f t="shared" si="6"/>
        <v>0</v>
      </c>
    </row>
    <row r="55">
      <c r="G55" s="68"/>
      <c r="H55" s="68" t="s">
        <v>54</v>
      </c>
      <c r="I55" s="69">
        <f t="shared" ref="I55:L55" si="10">SUM(I10:I54)</f>
        <v>450</v>
      </c>
      <c r="J55" s="69">
        <f t="shared" si="10"/>
        <v>500</v>
      </c>
      <c r="K55" s="70">
        <f t="shared" si="10"/>
        <v>-12.5</v>
      </c>
      <c r="L55" s="69">
        <f t="shared" si="10"/>
        <v>462.5</v>
      </c>
      <c r="P55" s="28">
        <f t="shared" si="6"/>
        <v>225</v>
      </c>
    </row>
    <row r="59">
      <c r="E59" s="71" t="s">
        <v>60</v>
      </c>
      <c r="F59" s="72"/>
      <c r="G59" s="73"/>
      <c r="H59" s="74"/>
      <c r="I59" s="75" t="s">
        <v>62</v>
      </c>
      <c r="J59" s="72"/>
      <c r="K59" s="72"/>
      <c r="L59" s="73"/>
      <c r="M59" s="74"/>
      <c r="N59" s="75" t="s">
        <v>74</v>
      </c>
      <c r="O59" s="72"/>
      <c r="P59" s="73"/>
      <c r="Q59" s="76"/>
      <c r="R59" s="76"/>
    </row>
    <row r="60">
      <c r="E60" s="77" t="s">
        <v>75</v>
      </c>
      <c r="F60" s="78" t="s">
        <v>76</v>
      </c>
      <c r="G60" s="79" t="s">
        <v>77</v>
      </c>
      <c r="H60" s="74"/>
      <c r="I60" s="77" t="s">
        <v>75</v>
      </c>
      <c r="J60" s="77"/>
      <c r="K60" s="78" t="s">
        <v>76</v>
      </c>
      <c r="L60" s="79" t="s">
        <v>77</v>
      </c>
      <c r="M60" s="74"/>
      <c r="N60" s="77" t="s">
        <v>75</v>
      </c>
      <c r="O60" s="78" t="s">
        <v>76</v>
      </c>
      <c r="P60" s="80" t="s">
        <v>77</v>
      </c>
      <c r="Q60" s="80" t="s">
        <v>78</v>
      </c>
      <c r="R60" s="81" t="s">
        <v>79</v>
      </c>
    </row>
    <row r="61">
      <c r="E61" s="77" t="s">
        <v>75</v>
      </c>
      <c r="F61" s="80"/>
      <c r="G61" s="80"/>
      <c r="H61" s="74"/>
      <c r="I61" s="77" t="s">
        <v>75</v>
      </c>
      <c r="J61" s="77"/>
      <c r="K61" s="78"/>
      <c r="L61" s="79"/>
      <c r="M61" s="74"/>
      <c r="N61" s="77" t="s">
        <v>75</v>
      </c>
      <c r="O61" s="80"/>
      <c r="P61" s="80"/>
      <c r="Q61" s="80"/>
      <c r="R61" s="80"/>
    </row>
    <row r="62">
      <c r="E62" s="77" t="s">
        <v>75</v>
      </c>
      <c r="G62" s="81"/>
      <c r="H62" s="74"/>
      <c r="I62" s="77" t="s">
        <v>75</v>
      </c>
      <c r="J62" s="77"/>
      <c r="K62" s="82"/>
      <c r="L62" s="82"/>
      <c r="M62" s="74"/>
      <c r="N62" s="77" t="s">
        <v>75</v>
      </c>
      <c r="O62" s="81" t="s">
        <v>80</v>
      </c>
      <c r="P62" s="81">
        <v>250.0</v>
      </c>
      <c r="Q62" s="81" t="s">
        <v>81</v>
      </c>
      <c r="R62" s="81"/>
      <c r="S62" s="5">
        <v>34.5</v>
      </c>
    </row>
    <row r="63">
      <c r="E63" s="77" t="s">
        <v>75</v>
      </c>
      <c r="F63" s="78"/>
      <c r="G63" s="78"/>
      <c r="H63" s="74"/>
      <c r="I63" s="77" t="s">
        <v>75</v>
      </c>
      <c r="J63" s="77"/>
      <c r="K63" s="78"/>
      <c r="L63" s="78"/>
      <c r="M63" s="74"/>
      <c r="N63" s="77" t="s">
        <v>75</v>
      </c>
      <c r="O63" s="81" t="s">
        <v>82</v>
      </c>
      <c r="P63" s="81">
        <v>350.0</v>
      </c>
      <c r="Q63" s="81" t="s">
        <v>48</v>
      </c>
      <c r="R63" s="78"/>
      <c r="S63" s="5">
        <v>75.0</v>
      </c>
    </row>
    <row r="64">
      <c r="E64" s="77" t="s">
        <v>75</v>
      </c>
      <c r="F64" s="83"/>
      <c r="G64" s="83"/>
      <c r="H64" s="74"/>
      <c r="I64" s="77" t="s">
        <v>75</v>
      </c>
      <c r="J64" s="77"/>
      <c r="K64" s="83"/>
      <c r="L64" s="83"/>
      <c r="M64" s="74"/>
      <c r="N64" s="77" t="s">
        <v>75</v>
      </c>
      <c r="O64" s="81" t="s">
        <v>83</v>
      </c>
      <c r="P64" s="81">
        <v>150.0</v>
      </c>
      <c r="Q64" s="81" t="s">
        <v>84</v>
      </c>
      <c r="R64" s="83"/>
      <c r="S64" s="5">
        <v>34.5</v>
      </c>
    </row>
    <row r="65">
      <c r="E65" s="77" t="s">
        <v>75</v>
      </c>
      <c r="F65" s="84"/>
      <c r="G65" s="84"/>
      <c r="H65" s="74"/>
      <c r="I65" s="77" t="s">
        <v>75</v>
      </c>
      <c r="J65" s="77"/>
      <c r="K65" s="84"/>
      <c r="L65" s="84"/>
      <c r="M65" s="74"/>
      <c r="N65" s="77" t="s">
        <v>75</v>
      </c>
      <c r="O65" s="84"/>
      <c r="P65" s="84"/>
      <c r="Q65" s="84"/>
      <c r="R65" s="84"/>
    </row>
    <row r="66">
      <c r="E66" s="77" t="s">
        <v>75</v>
      </c>
      <c r="F66" s="84"/>
      <c r="G66" s="85"/>
      <c r="H66" s="74"/>
      <c r="I66" s="77" t="s">
        <v>75</v>
      </c>
      <c r="J66" s="77"/>
      <c r="K66" s="84"/>
      <c r="L66" s="85"/>
      <c r="M66" s="74"/>
      <c r="N66" s="77" t="s">
        <v>75</v>
      </c>
      <c r="O66" s="84"/>
      <c r="P66" s="85"/>
      <c r="Q66" s="85"/>
      <c r="R66" s="85"/>
    </row>
    <row r="67">
      <c r="E67" s="77" t="s">
        <v>75</v>
      </c>
      <c r="F67" s="83"/>
      <c r="G67" s="83"/>
      <c r="H67" s="74"/>
      <c r="I67" s="77" t="s">
        <v>75</v>
      </c>
      <c r="J67" s="77"/>
      <c r="K67" s="83"/>
      <c r="L67" s="83"/>
      <c r="M67" s="74"/>
      <c r="N67" s="77" t="s">
        <v>75</v>
      </c>
      <c r="O67" s="83"/>
      <c r="P67" s="83"/>
      <c r="Q67" s="83"/>
      <c r="R67" s="83"/>
    </row>
    <row r="68">
      <c r="E68" s="77" t="s">
        <v>75</v>
      </c>
      <c r="F68" s="84"/>
      <c r="G68" s="84"/>
      <c r="H68" s="74"/>
      <c r="I68" s="77" t="s">
        <v>75</v>
      </c>
      <c r="J68" s="77"/>
      <c r="K68" s="84"/>
      <c r="L68" s="84"/>
      <c r="M68" s="74"/>
      <c r="N68" s="77" t="s">
        <v>75</v>
      </c>
      <c r="O68" s="84"/>
      <c r="P68" s="84"/>
      <c r="Q68" s="84"/>
      <c r="R68" s="84"/>
    </row>
    <row r="69">
      <c r="E69" s="77" t="s">
        <v>75</v>
      </c>
      <c r="F69" s="84"/>
      <c r="G69" s="84"/>
      <c r="H69" s="74"/>
      <c r="I69" s="77" t="s">
        <v>75</v>
      </c>
      <c r="J69" s="77"/>
      <c r="K69" s="84"/>
      <c r="L69" s="84"/>
      <c r="M69" s="74"/>
      <c r="N69" s="77" t="s">
        <v>75</v>
      </c>
      <c r="O69" s="84"/>
      <c r="P69" s="84"/>
      <c r="Q69" s="84"/>
      <c r="R69" s="84"/>
    </row>
    <row r="70">
      <c r="E70" s="77" t="s">
        <v>75</v>
      </c>
      <c r="F70" s="84"/>
      <c r="G70" s="84"/>
      <c r="H70" s="74"/>
      <c r="I70" s="77" t="s">
        <v>75</v>
      </c>
      <c r="J70" s="77"/>
      <c r="K70" s="84"/>
      <c r="L70" s="84"/>
      <c r="M70" s="74"/>
      <c r="N70" s="77" t="s">
        <v>75</v>
      </c>
      <c r="O70" s="84"/>
      <c r="P70" s="84"/>
      <c r="Q70" s="84"/>
      <c r="R70" s="84"/>
    </row>
    <row r="71">
      <c r="E71" s="77" t="s">
        <v>75</v>
      </c>
      <c r="F71" s="84"/>
      <c r="G71" s="84"/>
      <c r="H71" s="74"/>
      <c r="I71" s="77" t="s">
        <v>75</v>
      </c>
      <c r="J71" s="77"/>
      <c r="K71" s="84"/>
      <c r="L71" s="84"/>
      <c r="M71" s="74"/>
      <c r="N71" s="77" t="s">
        <v>75</v>
      </c>
      <c r="O71" s="84"/>
      <c r="P71" s="84"/>
      <c r="Q71" s="84"/>
      <c r="R71" s="84"/>
    </row>
    <row r="72">
      <c r="E72" s="77" t="s">
        <v>75</v>
      </c>
      <c r="F72" s="83"/>
      <c r="G72" s="83"/>
      <c r="H72" s="74"/>
      <c r="I72" s="77" t="s">
        <v>75</v>
      </c>
      <c r="J72" s="77"/>
      <c r="K72" s="83"/>
      <c r="L72" s="83"/>
      <c r="M72" s="74"/>
      <c r="N72" s="77" t="s">
        <v>75</v>
      </c>
      <c r="O72" s="83"/>
      <c r="P72" s="83"/>
      <c r="Q72" s="83"/>
      <c r="R72" s="83"/>
    </row>
    <row r="73">
      <c r="E73" s="77" t="s">
        <v>75</v>
      </c>
      <c r="F73" s="83"/>
      <c r="G73" s="83"/>
      <c r="H73" s="74"/>
      <c r="I73" s="77" t="s">
        <v>75</v>
      </c>
      <c r="J73" s="77"/>
      <c r="K73" s="83"/>
      <c r="L73" s="83"/>
      <c r="M73" s="74"/>
      <c r="N73" s="77" t="s">
        <v>75</v>
      </c>
      <c r="O73" s="83"/>
      <c r="P73" s="83"/>
      <c r="Q73" s="83"/>
      <c r="R73" s="83"/>
    </row>
    <row r="74">
      <c r="E74" s="86"/>
      <c r="F74" s="83"/>
      <c r="G74" s="83"/>
      <c r="H74" s="74"/>
      <c r="I74" s="86"/>
      <c r="J74" s="86"/>
      <c r="K74" s="83"/>
      <c r="L74" s="83"/>
      <c r="M74" s="74"/>
      <c r="N74" s="77" t="s">
        <v>75</v>
      </c>
      <c r="O74" s="83"/>
      <c r="P74" s="83"/>
      <c r="Q74" s="83"/>
      <c r="R74" s="83"/>
    </row>
    <row r="75">
      <c r="E75" s="77" t="s">
        <v>75</v>
      </c>
      <c r="F75" s="84"/>
      <c r="G75" s="84"/>
      <c r="H75" s="74"/>
      <c r="I75" s="77" t="s">
        <v>75</v>
      </c>
      <c r="J75" s="77"/>
      <c r="K75" s="84"/>
      <c r="L75" s="84"/>
      <c r="M75" s="74"/>
      <c r="N75" s="77" t="s">
        <v>75</v>
      </c>
      <c r="O75" s="84"/>
      <c r="P75" s="84"/>
      <c r="Q75" s="84"/>
      <c r="R75" s="84"/>
    </row>
    <row r="76">
      <c r="E76" s="77" t="s">
        <v>75</v>
      </c>
      <c r="F76" s="83"/>
      <c r="G76" s="83"/>
      <c r="H76" s="74"/>
      <c r="I76" s="77" t="s">
        <v>75</v>
      </c>
      <c r="J76" s="77"/>
      <c r="K76" s="83"/>
      <c r="L76" s="83"/>
      <c r="M76" s="74"/>
      <c r="N76" s="77" t="s">
        <v>75</v>
      </c>
      <c r="O76" s="83"/>
      <c r="P76" s="83"/>
      <c r="Q76" s="83"/>
      <c r="R76" s="83"/>
    </row>
    <row r="77">
      <c r="E77" s="87" t="s">
        <v>85</v>
      </c>
      <c r="F77" s="87" t="s">
        <v>85</v>
      </c>
      <c r="G77" s="88">
        <f>SUM(G61:G76)</f>
        <v>0</v>
      </c>
      <c r="H77" s="74"/>
      <c r="I77" s="87" t="s">
        <v>85</v>
      </c>
      <c r="J77" s="87"/>
      <c r="K77" s="87" t="s">
        <v>85</v>
      </c>
      <c r="L77" s="88">
        <f>SUM(L62:L76)</f>
        <v>0</v>
      </c>
      <c r="M77" s="74"/>
      <c r="N77" s="87" t="s">
        <v>85</v>
      </c>
      <c r="O77" s="87" t="s">
        <v>85</v>
      </c>
      <c r="P77" s="88">
        <f>SUM(P61:P76)</f>
        <v>750</v>
      </c>
    </row>
  </sheetData>
  <mergeCells count="9">
    <mergeCell ref="I59:L59"/>
    <mergeCell ref="N59:P59"/>
    <mergeCell ref="D3:G3"/>
    <mergeCell ref="D4:F4"/>
    <mergeCell ref="A5:A6"/>
    <mergeCell ref="A8:C8"/>
    <mergeCell ref="A25:B25"/>
    <mergeCell ref="A46:B48"/>
    <mergeCell ref="E59:G59"/>
  </mergeCells>
  <dataValidations>
    <dataValidation type="list" allowBlank="1" showErrorMessage="1" sqref="G10:G54">
      <formula1>X!$A$6:$A$33</formula1>
    </dataValidation>
  </dataValidations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